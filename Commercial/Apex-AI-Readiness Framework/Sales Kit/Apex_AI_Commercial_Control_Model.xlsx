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Dashboard" sheetId="1" state="visible" r:id="rId1"/>
    <sheet xmlns:r="http://schemas.openxmlformats.org/officeDocument/2006/relationships" name="02_Fixed_Engagement_Pricing" sheetId="2" state="visible" r:id="rId2"/>
    <sheet xmlns:r="http://schemas.openxmlformats.org/officeDocument/2006/relationships" name="03_Recurring_Usage_Model" sheetId="3" state="visible" r:id="rId3"/>
    <sheet xmlns:r="http://schemas.openxmlformats.org/officeDocument/2006/relationships" name="04_Platform_Cost_Model" sheetId="4" state="visible" r:id="rId4"/>
    <sheet xmlns:r="http://schemas.openxmlformats.org/officeDocument/2006/relationships" name="05_Growth_Forecast" sheetId="5" state="visible" r:id="rId5"/>
    <sheet xmlns:r="http://schemas.openxmlformats.org/officeDocument/2006/relationships" name="06_Margin_Sensitivity" sheetId="6" state="visible" r:id="rId6"/>
    <sheet xmlns:r="http://schemas.openxmlformats.org/officeDocument/2006/relationships" name="07_Scenario_Analysi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9" customWidth="1" min="1" max="1"/>
    <col width="65" customWidth="1" min="2" max="2"/>
  </cols>
  <sheetData>
    <row r="1">
      <c r="A1" s="1" t="inlineStr">
        <is>
          <t>Apex AI™ Commercial Control Dashboard</t>
        </is>
      </c>
    </row>
    <row r="2"/>
    <row r="3">
      <c r="A3" t="inlineStr">
        <is>
          <t>Total Monthly Revenue</t>
        </is>
      </c>
      <c r="B3">
        <f>03_Recurring_Usage_Model!B20 + 02_Fixed_Engagement_Pricing!B18</f>
        <v/>
      </c>
    </row>
    <row r="4">
      <c r="A4" t="inlineStr">
        <is>
          <t>Total Monthly Cost</t>
        </is>
      </c>
      <c r="B4">
        <f>04_Platform_Cost_Model!B25</f>
        <v/>
      </c>
    </row>
    <row r="5">
      <c r="A5" t="inlineStr">
        <is>
          <t>Gross Profit</t>
        </is>
      </c>
      <c r="B5">
        <f>B3-B4</f>
        <v/>
      </c>
    </row>
    <row r="6">
      <c r="A6" t="inlineStr">
        <is>
          <t>Gross Margin %</t>
        </is>
      </c>
      <c r="B6">
        <f>(B3-B4)/B3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8" customWidth="1" min="3" max="3"/>
    <col width="13" customWidth="1" min="4" max="4"/>
  </cols>
  <sheetData>
    <row r="1">
      <c r="A1" s="1" t="inlineStr">
        <is>
          <t>Role</t>
        </is>
      </c>
      <c r="B1" s="1" t="inlineStr">
        <is>
          <t>Hours</t>
        </is>
      </c>
      <c r="C1" s="1" t="inlineStr">
        <is>
          <t>Internal Cost/hr</t>
        </is>
      </c>
      <c r="D1" s="1" t="inlineStr">
        <is>
          <t>Total Cost</t>
        </is>
      </c>
    </row>
    <row r="2">
      <c r="A2" t="inlineStr">
        <is>
          <t>Architect</t>
        </is>
      </c>
      <c r="D2">
        <f>B2*C2</f>
        <v/>
      </c>
    </row>
    <row r="3">
      <c r="A3" t="inlineStr">
        <is>
          <t>Engineer</t>
        </is>
      </c>
      <c r="D3">
        <f>B3*C3</f>
        <v/>
      </c>
    </row>
    <row r="4">
      <c r="A4" t="inlineStr">
        <is>
          <t>Consultant</t>
        </is>
      </c>
      <c r="D4">
        <f>B4*C4</f>
        <v/>
      </c>
    </row>
    <row r="5">
      <c r="A5" t="inlineStr">
        <is>
          <t>Project Manager</t>
        </is>
      </c>
      <c r="D5">
        <f>B5*C5</f>
        <v/>
      </c>
    </row>
    <row r="6"/>
    <row r="7">
      <c r="A7" s="1" t="inlineStr">
        <is>
          <t>Total Labour Cost</t>
        </is>
      </c>
      <c r="D7">
        <f>SUM(D2:D5)</f>
        <v/>
      </c>
    </row>
    <row r="8"/>
    <row r="9">
      <c r="A9" t="inlineStr">
        <is>
          <t>Overhead %</t>
        </is>
      </c>
      <c r="B9" t="n">
        <v>0.2</v>
      </c>
    </row>
    <row r="10">
      <c r="A10" t="inlineStr">
        <is>
          <t>Overhead Cost</t>
        </is>
      </c>
      <c r="D10">
        <f>D7*B9</f>
        <v/>
      </c>
    </row>
    <row r="11">
      <c r="A11" s="1" t="inlineStr">
        <is>
          <t>Delivery Cost</t>
        </is>
      </c>
      <c r="D11">
        <f>D7+D10</f>
        <v/>
      </c>
    </row>
    <row r="12"/>
    <row r="13">
      <c r="A13" t="inlineStr">
        <is>
          <t>Target Margin %</t>
        </is>
      </c>
      <c r="B13" t="n">
        <v>0.6</v>
      </c>
    </row>
    <row r="14">
      <c r="A14" s="1" t="inlineStr">
        <is>
          <t>Selling Price</t>
        </is>
      </c>
    </row>
    <row r="15"/>
    <row r="16"/>
    <row r="17"/>
    <row r="18">
      <c r="B18">
        <f>D11/(1-B13)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3" customWidth="1" min="1" max="1"/>
    <col width="16" customWidth="1" min="2" max="2"/>
  </cols>
  <sheetData>
    <row r="1">
      <c r="A1" s="1" t="inlineStr">
        <is>
          <t>Usage Inputs</t>
        </is>
      </c>
    </row>
    <row r="2">
      <c r="A2" t="inlineStr">
        <is>
          <t>Number of Users</t>
        </is>
      </c>
      <c r="B2" t="n">
        <v>50</v>
      </c>
    </row>
    <row r="3">
      <c r="A3" t="inlineStr">
        <is>
          <t>Interactions per User per Month</t>
        </is>
      </c>
      <c r="B3" t="n">
        <v>20</v>
      </c>
    </row>
    <row r="4">
      <c r="A4" t="inlineStr">
        <is>
          <t>Avg Tokens per Interaction</t>
        </is>
      </c>
      <c r="B4" t="n">
        <v>1500</v>
      </c>
    </row>
    <row r="5">
      <c r="A5" t="inlineStr">
        <is>
          <t>Cost per 1K Tokens</t>
        </is>
      </c>
      <c r="B5" t="n">
        <v>0.01</v>
      </c>
    </row>
    <row r="6"/>
    <row r="7">
      <c r="A7" t="inlineStr">
        <is>
          <t>Monthly Tokens</t>
        </is>
      </c>
      <c r="B7">
        <f>B2*B3*B4</f>
        <v/>
      </c>
    </row>
    <row r="8">
      <c r="A8" t="inlineStr">
        <is>
          <t>Monthly Token Cost</t>
        </is>
      </c>
      <c r="B8">
        <f>(B7/1000)*B5</f>
        <v/>
      </c>
    </row>
    <row r="9"/>
    <row r="10">
      <c r="A10" t="inlineStr">
        <is>
          <t>Monitoring Fee per User</t>
        </is>
      </c>
      <c r="B10" t="n">
        <v>20</v>
      </c>
    </row>
    <row r="11">
      <c r="A11" t="inlineStr">
        <is>
          <t>Service Fee Total</t>
        </is>
      </c>
      <c r="B11">
        <f>B2*B10</f>
        <v/>
      </c>
    </row>
    <row r="12"/>
    <row r="13">
      <c r="A13" t="inlineStr">
        <is>
          <t>Infrastructure Cost</t>
        </is>
      </c>
      <c r="B13" t="n">
        <v>1000</v>
      </c>
    </row>
    <row r="14"/>
    <row r="15">
      <c r="A15" t="inlineStr">
        <is>
          <t>Total Monthly Cost</t>
        </is>
      </c>
    </row>
    <row r="16">
      <c r="B16">
        <f>B8+B13</f>
        <v/>
      </c>
    </row>
    <row r="17">
      <c r="A17" t="inlineStr">
        <is>
          <t>Markup %</t>
        </is>
      </c>
      <c r="B17" t="n">
        <v>0.5</v>
      </c>
    </row>
    <row r="18">
      <c r="A18" t="inlineStr">
        <is>
          <t>AI Markup Revenue</t>
        </is>
      </c>
    </row>
    <row r="19">
      <c r="A19" t="inlineStr">
        <is>
          <t>Total Monthly Revenue</t>
        </is>
      </c>
      <c r="B19">
        <f>B8*(1+B17)</f>
        <v/>
      </c>
    </row>
    <row r="20">
      <c r="A20" t="inlineStr">
        <is>
          <t>Gross Margin %</t>
        </is>
      </c>
      <c r="B20">
        <f>B19+B11</f>
        <v/>
      </c>
    </row>
    <row r="21">
      <c r="B21">
        <f>(B20-B16)/B20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1" t="inlineStr">
        <is>
          <t>API Costs</t>
        </is>
      </c>
    </row>
    <row r="2">
      <c r="A2" t="inlineStr">
        <is>
          <t>Input Tokens per Month</t>
        </is>
      </c>
      <c r="B2" t="n">
        <v>1000000</v>
      </c>
    </row>
    <row r="3">
      <c r="A3" t="inlineStr">
        <is>
          <t>Input Cost per 1K</t>
        </is>
      </c>
      <c r="B3" t="n">
        <v>0.005</v>
      </c>
    </row>
    <row r="4">
      <c r="A4" t="inlineStr">
        <is>
          <t>Input Cost</t>
        </is>
      </c>
      <c r="B4">
        <f>(B2/1000)*B3</f>
        <v/>
      </c>
    </row>
    <row r="5"/>
    <row r="6">
      <c r="A6" t="inlineStr">
        <is>
          <t>Output Tokens per Month</t>
        </is>
      </c>
      <c r="B6" t="n">
        <v>800000</v>
      </c>
    </row>
    <row r="7">
      <c r="A7" t="inlineStr">
        <is>
          <t>Output Cost per 1K</t>
        </is>
      </c>
      <c r="B7" t="n">
        <v>0.015</v>
      </c>
    </row>
    <row r="8">
      <c r="A8" t="inlineStr">
        <is>
          <t>Output Cost</t>
        </is>
      </c>
      <c r="B8">
        <f>(B6/1000)*B7</f>
        <v/>
      </c>
    </row>
    <row r="9"/>
    <row r="10">
      <c r="A10" t="inlineStr">
        <is>
          <t>Embeddings Cost</t>
        </is>
      </c>
      <c r="B10" t="n">
        <v>500</v>
      </c>
    </row>
    <row r="11"/>
    <row r="12">
      <c r="A12" s="1" t="inlineStr">
        <is>
          <t>Total API Cost</t>
        </is>
      </c>
      <c r="B12">
        <f>B4+B8+B10</f>
        <v/>
      </c>
    </row>
    <row r="13"/>
    <row r="14">
      <c r="A14" s="1" t="inlineStr">
        <is>
          <t>Infrastructure Costs</t>
        </is>
      </c>
    </row>
    <row r="15">
      <c r="A15" t="inlineStr">
        <is>
          <t>Azure App Service</t>
        </is>
      </c>
      <c r="B15" t="n">
        <v>400</v>
      </c>
    </row>
    <row r="16">
      <c r="A16" t="inlineStr">
        <is>
          <t>Vector DB</t>
        </is>
      </c>
      <c r="B16" t="n">
        <v>300</v>
      </c>
    </row>
    <row r="17">
      <c r="A17" t="inlineStr">
        <is>
          <t>Storage</t>
        </is>
      </c>
      <c r="B17" t="n">
        <v>200</v>
      </c>
    </row>
    <row r="18">
      <c r="A18" t="inlineStr">
        <is>
          <t>Monitoring</t>
        </is>
      </c>
      <c r="B18" t="n">
        <v>150</v>
      </c>
    </row>
    <row r="19"/>
    <row r="20">
      <c r="A20" t="inlineStr">
        <is>
          <t>Total Infrastructure</t>
        </is>
      </c>
      <c r="B20">
        <f>SUM(B15:B18)</f>
        <v/>
      </c>
    </row>
    <row r="21"/>
    <row r="22"/>
    <row r="23"/>
    <row r="24"/>
    <row r="25">
      <c r="A25" s="1" t="inlineStr">
        <is>
          <t>Total Platform Cost</t>
        </is>
      </c>
      <c r="B25">
        <f>B12+B20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0" customWidth="1" min="3" max="3"/>
    <col width="14" customWidth="1" min="4" max="4"/>
    <col width="15" customWidth="1" min="5" max="5"/>
    <col width="18" customWidth="1" min="6" max="6"/>
  </cols>
  <sheetData>
    <row r="1">
      <c r="A1" s="1" t="inlineStr">
        <is>
          <t>Month</t>
        </is>
      </c>
      <c r="B1" s="1" t="inlineStr">
        <is>
          <t>Users</t>
        </is>
      </c>
      <c r="C1" s="1" t="inlineStr">
        <is>
          <t>Growth %</t>
        </is>
      </c>
      <c r="D1" s="1" t="inlineStr">
        <is>
          <t>Interactions</t>
        </is>
      </c>
      <c r="E1" s="1" t="inlineStr">
        <is>
          <t>Tokens</t>
        </is>
      </c>
      <c r="F1" s="1" t="inlineStr">
        <is>
          <t>Cost</t>
        </is>
      </c>
    </row>
    <row r="2">
      <c r="A2" t="n">
        <v>1</v>
      </c>
      <c r="B2" t="n">
        <v>50</v>
      </c>
      <c r="C2" t="n">
        <v>0.1</v>
      </c>
      <c r="D2" t="n">
        <v>20</v>
      </c>
      <c r="E2">
        <f>B2*D2*1500</f>
        <v/>
      </c>
      <c r="F2">
        <f>(E2/1000)*0.01</f>
        <v/>
      </c>
    </row>
    <row r="3">
      <c r="A3" t="n">
        <v>2</v>
      </c>
      <c r="B3">
        <f>B2*(1+C3)</f>
        <v/>
      </c>
      <c r="C3" t="n">
        <v>0.1</v>
      </c>
      <c r="D3" t="n">
        <v>20</v>
      </c>
      <c r="E3">
        <f>B3*D3*1500</f>
        <v/>
      </c>
      <c r="F3">
        <f>(E3/1000)*0.01</f>
        <v/>
      </c>
    </row>
    <row r="4">
      <c r="A4" t="n">
        <v>3</v>
      </c>
      <c r="B4">
        <f>B3*(1+C4)</f>
        <v/>
      </c>
      <c r="C4" t="n">
        <v>0.1</v>
      </c>
      <c r="D4" t="n">
        <v>20</v>
      </c>
      <c r="E4">
        <f>B4*D4*1500</f>
        <v/>
      </c>
      <c r="F4">
        <f>(E4/1000)*0.01</f>
        <v/>
      </c>
    </row>
    <row r="5">
      <c r="A5" t="n">
        <v>4</v>
      </c>
      <c r="B5">
        <f>B4*(1+C5)</f>
        <v/>
      </c>
      <c r="C5" t="n">
        <v>0.1</v>
      </c>
      <c r="D5" t="n">
        <v>20</v>
      </c>
      <c r="E5">
        <f>B5*D5*1500</f>
        <v/>
      </c>
      <c r="F5">
        <f>(E5/1000)*0.01</f>
        <v/>
      </c>
    </row>
    <row r="6">
      <c r="A6" t="n">
        <v>5</v>
      </c>
      <c r="B6">
        <f>B5*(1+C6)</f>
        <v/>
      </c>
      <c r="C6" t="n">
        <v>0.1</v>
      </c>
      <c r="D6" t="n">
        <v>20</v>
      </c>
      <c r="E6">
        <f>B6*D6*1500</f>
        <v/>
      </c>
      <c r="F6">
        <f>(E6/1000)*0.01</f>
        <v/>
      </c>
    </row>
    <row r="7">
      <c r="A7" t="n">
        <v>6</v>
      </c>
      <c r="B7">
        <f>B6*(1+C7)</f>
        <v/>
      </c>
      <c r="C7" t="n">
        <v>0.1</v>
      </c>
      <c r="D7" t="n">
        <v>20</v>
      </c>
      <c r="E7">
        <f>B7*D7*1500</f>
        <v/>
      </c>
      <c r="F7">
        <f>(E7/1000)*0.01</f>
        <v/>
      </c>
    </row>
    <row r="8">
      <c r="A8" t="n">
        <v>7</v>
      </c>
      <c r="B8">
        <f>B7*(1+C8)</f>
        <v/>
      </c>
      <c r="C8" t="n">
        <v>0.1</v>
      </c>
      <c r="D8" t="n">
        <v>20</v>
      </c>
      <c r="E8">
        <f>B8*D8*1500</f>
        <v/>
      </c>
      <c r="F8">
        <f>(E8/1000)*0.01</f>
        <v/>
      </c>
    </row>
    <row r="9">
      <c r="A9" t="n">
        <v>8</v>
      </c>
      <c r="B9">
        <f>B8*(1+C9)</f>
        <v/>
      </c>
      <c r="C9" t="n">
        <v>0.1</v>
      </c>
      <c r="D9" t="n">
        <v>20</v>
      </c>
      <c r="E9">
        <f>B9*D9*1500</f>
        <v/>
      </c>
      <c r="F9">
        <f>(E9/1000)*0.01</f>
        <v/>
      </c>
    </row>
    <row r="10">
      <c r="A10" t="n">
        <v>9</v>
      </c>
      <c r="B10">
        <f>B9*(1+C10)</f>
        <v/>
      </c>
      <c r="C10" t="n">
        <v>0.1</v>
      </c>
      <c r="D10" t="n">
        <v>20</v>
      </c>
      <c r="E10">
        <f>B10*D10*1500</f>
        <v/>
      </c>
      <c r="F10">
        <f>(E10/1000)*0.01</f>
        <v/>
      </c>
    </row>
    <row r="11">
      <c r="A11" t="n">
        <v>10</v>
      </c>
      <c r="B11">
        <f>B10*(1+C11)</f>
        <v/>
      </c>
      <c r="C11" t="n">
        <v>0.1</v>
      </c>
      <c r="D11" t="n">
        <v>20</v>
      </c>
      <c r="E11">
        <f>B11*D11*1500</f>
        <v/>
      </c>
      <c r="F11">
        <f>(E11/1000)*0.01</f>
        <v/>
      </c>
    </row>
    <row r="12">
      <c r="A12" t="n">
        <v>11</v>
      </c>
      <c r="B12">
        <f>B11*(1+C12)</f>
        <v/>
      </c>
      <c r="C12" t="n">
        <v>0.1</v>
      </c>
      <c r="D12" t="n">
        <v>20</v>
      </c>
      <c r="E12">
        <f>B12*D12*1500</f>
        <v/>
      </c>
      <c r="F12">
        <f>(E12/1000)*0.01</f>
        <v/>
      </c>
    </row>
    <row r="13">
      <c r="A13" t="n">
        <v>12</v>
      </c>
      <c r="B13">
        <f>B12*(1+C13)</f>
        <v/>
      </c>
      <c r="C13" t="n">
        <v>0.1</v>
      </c>
      <c r="D13" t="n">
        <v>20</v>
      </c>
      <c r="E13">
        <f>B13*D13*1500</f>
        <v/>
      </c>
      <c r="F13">
        <f>(E13/1000)*0.01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3" customWidth="1" min="1" max="1"/>
    <col width="40" customWidth="1" min="2" max="2"/>
  </cols>
  <sheetData>
    <row r="1">
      <c r="A1" t="inlineStr">
        <is>
          <t>Usage Increase %</t>
        </is>
      </c>
      <c r="B1" t="n">
        <v>0.2</v>
      </c>
    </row>
    <row r="2">
      <c r="A2" t="inlineStr">
        <is>
          <t>Token Cost Increase %</t>
        </is>
      </c>
      <c r="B2" t="n">
        <v>0.1</v>
      </c>
    </row>
    <row r="3">
      <c r="A3" t="inlineStr">
        <is>
          <t>Discount %</t>
        </is>
      </c>
      <c r="B3" t="n">
        <v>0.05</v>
      </c>
    </row>
    <row r="4"/>
    <row r="5">
      <c r="A5" t="inlineStr">
        <is>
          <t>Adjusted Revenue</t>
        </is>
      </c>
      <c r="B5">
        <f>(03_Recurring_Usage_Model!B20*(1-B3))</f>
        <v/>
      </c>
    </row>
    <row r="6">
      <c r="A6" t="inlineStr">
        <is>
          <t>Adjusted Cost</t>
        </is>
      </c>
      <c r="B6">
        <f>(04_Platform_Cost_Model!B25*(1+B2))</f>
        <v/>
      </c>
    </row>
    <row r="7">
      <c r="A7" t="inlineStr">
        <is>
          <t>Adjusted Gross Margin</t>
        </is>
      </c>
      <c r="B7">
        <f>(B5-B6)/B5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1" customWidth="1" min="1" max="1"/>
    <col width="31" customWidth="1" min="2" max="2"/>
    <col width="29" customWidth="1" min="3" max="3"/>
    <col width="14" customWidth="1" min="4" max="4"/>
  </cols>
  <sheetData>
    <row r="1">
      <c r="A1" s="1" t="inlineStr">
        <is>
          <t>Scenario</t>
        </is>
      </c>
      <c r="B1" s="1" t="inlineStr">
        <is>
          <t>Monthly Revenue</t>
        </is>
      </c>
      <c r="C1" s="1" t="inlineStr">
        <is>
          <t>Monthly Cost</t>
        </is>
      </c>
      <c r="D1" s="1" t="inlineStr">
        <is>
          <t>Gross Margin</t>
        </is>
      </c>
    </row>
    <row r="2">
      <c r="A2" t="inlineStr">
        <is>
          <t>Light</t>
        </is>
      </c>
      <c r="B2">
        <f>03_Recurring_Usage_Model!B20</f>
        <v/>
      </c>
      <c r="C2">
        <f>04_Platform_Cost_Model!B25</f>
        <v/>
      </c>
      <c r="D2">
        <f>(B2-C2)/B2</f>
        <v/>
      </c>
    </row>
    <row r="3">
      <c r="A3" t="inlineStr">
        <is>
          <t>Heavy</t>
        </is>
      </c>
      <c r="B3">
        <f>03_Recurring_Usage_Model!B20</f>
        <v/>
      </c>
      <c r="C3">
        <f>04_Platform_Cost_Model!B25</f>
        <v/>
      </c>
      <c r="D3">
        <f>(B3-C3)/B3</f>
        <v/>
      </c>
    </row>
    <row r="4">
      <c r="A4" t="inlineStr">
        <is>
          <t>Exploding</t>
        </is>
      </c>
      <c r="B4">
        <f>03_Recurring_Usage_Model!B20</f>
        <v/>
      </c>
      <c r="C4">
        <f>04_Platform_Cost_Model!B25</f>
        <v/>
      </c>
      <c r="D4">
        <f>(B4-C4)/B4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2026-02-16T23:53:03Z</dcterms:created>
  <dcterms:modified xmlns:dcterms="http://purl.org/dc/terms/" xmlns:xsi="http://www.w3.org/2001/XMLSchema-instance" xsi:type="dcterms:W3CDTF">2026-02-16T23:53:03Z</dcterms:modified>
</cp:coreProperties>
</file>